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45" windowHeight="255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<sst xmlns="http://schemas.openxmlformats.org/spreadsheetml/2006/main" count="13" uniqueCount="13">
  <si>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id</t>
  </si>
  <si>
    <t>row</t>
  </si>
  <si>
    <t>col</t>
  </si>
  <si>
    <t>y</t>
  </si>
  <si>
    <t>x</t>
  </si>
  <si>
    <t>3y</t>
  </si>
  <si>
    <t>3x</t>
  </si>
  <si>
    <t>2y</t>
  </si>
  <si>
    <t>2x</t>
  </si>
  <si>
    <t>1y</t>
  </si>
  <si>
    <t>1x</t>
  </si>
  <si>
    <t>0y</t>
  </si>
  <si>
    <t>0x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</si>
</sst>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5" borderId="1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11">
      <alignment vertical="center"/>
    </xf>
    <xf numFmtId="0" fontId="8" fillId="0" borderId="11">
      <alignment vertical="center"/>
    </xf>
    <xf numFmtId="0" fontId="9" fillId="0" borderId="12">
      <alignment vertical="center"/>
    </xf>
    <xf numFmtId="0" fontId="9" fillId="0" borderId="0">
      <alignment vertical="center"/>
    </xf>
    <xf numFmtId="0" fontId="10" fillId="6" borderId="13">
      <alignment vertical="center"/>
    </xf>
    <xf numFmtId="0" fontId="11" fillId="7" borderId="14">
      <alignment vertical="center"/>
    </xf>
    <xf numFmtId="0" fontId="12" fillId="7" borderId="13">
      <alignment vertical="center"/>
    </xf>
    <xf numFmtId="0" fontId="13" fillId="8" borderId="15">
      <alignment vertical="center"/>
    </xf>
    <xf numFmtId="0" fontId="14" fillId="0" borderId="16">
      <alignment vertical="center"/>
    </xf>
    <xf numFmtId="0" fontId="15" fillId="0" borderId="17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19" fillId="35" borderId="0">
      <alignment vertical="center"/>
    </xf>
  </cellStyleXfs>
  <cellXfs count="19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/>
    </xf>
    <xf numFmtId="0" fontId="0" fillId="4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0"/>
  <sheetViews>
    <sheetView tabSelected="1" workbookViewId="0">
      <selection activeCell="F30" sqref="F30"/>
    </sheetView>
  </sheetViews>
  <sheetFormatPr defaultColWidth="9" defaultRowHeight="13.5"/>
  <cols>
    <col min="1" max="4" width="9" style="2"/>
    <col min="5" max="5" width="9.375" style="2"/>
    <col min="6" max="6" width="9" style="2"/>
    <col min="7" max="7" width="9.375" style="2"/>
    <col min="8" max="8" width="9" style="2"/>
    <col min="9" max="9" width="9.375" style="2"/>
    <col min="10" max="10" width="9" style="2"/>
    <col min="11" max="11" width="9.375" style="2"/>
    <col min="12" max="12" width="9" style="2"/>
    <col min="13" max="13" width="9.375" style="2"/>
  </cols>
  <sheetData>
    <row r="1" ht="25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4" t="s">
        <v>12</v>
      </c>
    </row>
    <row r="2" ht="25" customHeight="1" spans="1:13">
      <c r="A2" s="2">
        <v>0</v>
      </c>
      <c r="B2" s="2">
        <v>25</v>
      </c>
      <c r="C2" s="2">
        <v>37</v>
      </c>
      <c r="D2" s="2">
        <f>25*(B2-1)/2</f>
        <v>300</v>
      </c>
      <c r="E2" s="2">
        <f>(C2-1)*43.301/2</f>
        <v>779.418</v>
      </c>
      <c r="F2" s="5">
        <f>D2-62.5</f>
        <v>237.5</v>
      </c>
      <c r="G2" s="6">
        <f>E2+194.85</f>
        <v>974.268</v>
      </c>
      <c r="H2" s="6">
        <f>D2-62.5</f>
        <v>237.5</v>
      </c>
      <c r="I2" s="6">
        <f>E2-194.85</f>
        <v>584.568</v>
      </c>
      <c r="J2" s="6">
        <f>D2+62.5</f>
        <v>362.5</v>
      </c>
      <c r="K2" s="6">
        <f>E2-194.85</f>
        <v>584.568</v>
      </c>
      <c r="L2" s="6">
        <f>D2+62.5</f>
        <v>362.5</v>
      </c>
      <c r="M2" s="15">
        <f>E2+194.85</f>
        <v>974.268</v>
      </c>
    </row>
    <row r="3" ht="25" customHeight="1" spans="1:13">
      <c r="A3" s="2">
        <v>1</v>
      </c>
      <c r="B3" s="2">
        <v>25</v>
      </c>
      <c r="C3" s="2">
        <v>41</v>
      </c>
      <c r="D3" s="2">
        <f t="shared" ref="D3:D26" si="0">25*(B3-1)/2</f>
        <v>300</v>
      </c>
      <c r="E3" s="2">
        <f t="shared" ref="E3:E26" si="1">(C3-1)*43.301/2</f>
        <v>866.02</v>
      </c>
      <c r="F3" s="7">
        <f t="shared" ref="F3:F26" si="2">D3-62.5</f>
        <v>237.5</v>
      </c>
      <c r="G3" s="8">
        <f t="shared" ref="G3:G26" si="3">E3+194.85</f>
        <v>1060.87</v>
      </c>
      <c r="H3" s="8">
        <f t="shared" ref="H3:H26" si="4">D3-62.5</f>
        <v>237.5</v>
      </c>
      <c r="I3" s="8">
        <f t="shared" ref="I3:I26" si="5">E3-194.85</f>
        <v>671.17</v>
      </c>
      <c r="J3" s="8">
        <f t="shared" ref="J3:J26" si="6">D3+62.5</f>
        <v>362.5</v>
      </c>
      <c r="K3" s="8">
        <f t="shared" ref="K3:K26" si="7">E3-194.85</f>
        <v>671.17</v>
      </c>
      <c r="L3" s="8">
        <f t="shared" ref="L3:L26" si="8">D3+62.5</f>
        <v>362.5</v>
      </c>
      <c r="M3" s="16">
        <f t="shared" ref="M3:M26" si="9">E3+194.85</f>
        <v>1060.87</v>
      </c>
    </row>
    <row r="4" ht="25" customHeight="1" spans="1:13">
      <c r="A4" s="2">
        <v>2</v>
      </c>
      <c r="B4" s="2">
        <v>25</v>
      </c>
      <c r="C4" s="2">
        <v>45</v>
      </c>
      <c r="D4" s="2">
        <f t="shared" si="0"/>
        <v>300</v>
      </c>
      <c r="E4" s="2">
        <f t="shared" si="1"/>
        <v>952.622</v>
      </c>
      <c r="F4" s="5">
        <f t="shared" si="2"/>
        <v>237.5</v>
      </c>
      <c r="G4" s="6">
        <f t="shared" si="3"/>
        <v>1147.472</v>
      </c>
      <c r="H4" s="6">
        <f t="shared" si="4"/>
        <v>237.5</v>
      </c>
      <c r="I4" s="6">
        <f t="shared" si="5"/>
        <v>757.772</v>
      </c>
      <c r="J4" s="6">
        <f t="shared" si="6"/>
        <v>362.5</v>
      </c>
      <c r="K4" s="6">
        <f t="shared" si="7"/>
        <v>757.772</v>
      </c>
      <c r="L4" s="6">
        <f t="shared" si="8"/>
        <v>362.5</v>
      </c>
      <c r="M4" s="15">
        <f t="shared" si="9"/>
        <v>1147.472</v>
      </c>
    </row>
    <row r="5" ht="25" customHeight="1" spans="1:13">
      <c r="A5" s="2">
        <v>3</v>
      </c>
      <c r="B5" s="2">
        <v>25</v>
      </c>
      <c r="C5" s="2">
        <v>49</v>
      </c>
      <c r="D5" s="2">
        <f t="shared" si="0"/>
        <v>300</v>
      </c>
      <c r="E5" s="2">
        <f t="shared" si="1"/>
        <v>1039.224</v>
      </c>
      <c r="F5" s="7">
        <f t="shared" si="2"/>
        <v>237.5</v>
      </c>
      <c r="G5" s="8">
        <f t="shared" si="3"/>
        <v>1234.074</v>
      </c>
      <c r="H5" s="8">
        <f t="shared" si="4"/>
        <v>237.5</v>
      </c>
      <c r="I5" s="8">
        <f t="shared" si="5"/>
        <v>844.374</v>
      </c>
      <c r="J5" s="8">
        <f t="shared" si="6"/>
        <v>362.5</v>
      </c>
      <c r="K5" s="8">
        <f t="shared" si="7"/>
        <v>844.374</v>
      </c>
      <c r="L5" s="8">
        <f t="shared" si="8"/>
        <v>362.5</v>
      </c>
      <c r="M5" s="16">
        <f t="shared" si="9"/>
        <v>1234.074</v>
      </c>
    </row>
    <row r="6" ht="25" customHeight="1" spans="1:13">
      <c r="A6" s="2">
        <v>4</v>
      </c>
      <c r="B6" s="2">
        <v>25</v>
      </c>
      <c r="C6" s="2">
        <v>53</v>
      </c>
      <c r="D6" s="2">
        <f t="shared" si="0"/>
        <v>300</v>
      </c>
      <c r="E6" s="2">
        <f t="shared" si="1"/>
        <v>1125.826</v>
      </c>
      <c r="F6" s="5">
        <f t="shared" si="2"/>
        <v>237.5</v>
      </c>
      <c r="G6" s="6">
        <f t="shared" si="3"/>
        <v>1320.676</v>
      </c>
      <c r="H6" s="6">
        <f t="shared" si="4"/>
        <v>237.5</v>
      </c>
      <c r="I6" s="6">
        <f t="shared" si="5"/>
        <v>930.976</v>
      </c>
      <c r="J6" s="6">
        <f t="shared" si="6"/>
        <v>362.5</v>
      </c>
      <c r="K6" s="6">
        <f t="shared" si="7"/>
        <v>930.976</v>
      </c>
      <c r="L6" s="6">
        <f t="shared" si="8"/>
        <v>362.5</v>
      </c>
      <c r="M6" s="15">
        <f t="shared" si="9"/>
        <v>1320.676</v>
      </c>
    </row>
    <row r="7" s="1" customFormat="1" ht="25" customHeight="1" spans="1:13">
      <c r="A7" s="2">
        <v>5</v>
      </c>
      <c r="B7" s="9">
        <v>25</v>
      </c>
      <c r="C7" s="9">
        <v>57</v>
      </c>
      <c r="D7" s="9">
        <f t="shared" si="0"/>
        <v>300</v>
      </c>
      <c r="E7" s="9">
        <f t="shared" si="1"/>
        <v>1212.428</v>
      </c>
      <c r="F7" s="10">
        <f t="shared" si="2"/>
        <v>237.5</v>
      </c>
      <c r="G7" s="11">
        <f t="shared" si="3"/>
        <v>1407.278</v>
      </c>
      <c r="H7" s="11">
        <f t="shared" si="4"/>
        <v>237.5</v>
      </c>
      <c r="I7" s="11">
        <f t="shared" si="5"/>
        <v>1017.578</v>
      </c>
      <c r="J7" s="11">
        <f t="shared" si="6"/>
        <v>362.5</v>
      </c>
      <c r="K7" s="11">
        <f t="shared" si="7"/>
        <v>1017.578</v>
      </c>
      <c r="L7" s="11">
        <f t="shared" si="8"/>
        <v>362.5</v>
      </c>
      <c r="M7" s="17">
        <f t="shared" si="9"/>
        <v>1407.278</v>
      </c>
    </row>
    <row r="8" ht="25" customHeight="1" spans="1:13">
      <c r="A8" s="2">
        <v>6</v>
      </c>
      <c r="B8" s="2">
        <v>25</v>
      </c>
      <c r="C8" s="2">
        <v>61</v>
      </c>
      <c r="D8" s="2">
        <f t="shared" si="0"/>
        <v>300</v>
      </c>
      <c r="E8" s="2">
        <f t="shared" si="1"/>
        <v>1299.03</v>
      </c>
      <c r="F8" s="5">
        <f t="shared" si="2"/>
        <v>237.5</v>
      </c>
      <c r="G8" s="6">
        <f t="shared" si="3"/>
        <v>1493.88</v>
      </c>
      <c r="H8" s="6">
        <f t="shared" si="4"/>
        <v>237.5</v>
      </c>
      <c r="I8" s="6">
        <f t="shared" si="5"/>
        <v>1104.18</v>
      </c>
      <c r="J8" s="6">
        <f t="shared" si="6"/>
        <v>362.5</v>
      </c>
      <c r="K8" s="6">
        <f t="shared" si="7"/>
        <v>1104.18</v>
      </c>
      <c r="L8" s="6">
        <f t="shared" si="8"/>
        <v>362.5</v>
      </c>
      <c r="M8" s="15">
        <f t="shared" si="9"/>
        <v>1493.88</v>
      </c>
    </row>
    <row r="9" ht="25" customHeight="1" spans="1:13">
      <c r="A9" s="2">
        <v>7</v>
      </c>
      <c r="B9" s="2">
        <v>25</v>
      </c>
      <c r="C9" s="2">
        <v>65</v>
      </c>
      <c r="D9" s="2">
        <f t="shared" si="0"/>
        <v>300</v>
      </c>
      <c r="E9" s="2">
        <f t="shared" si="1"/>
        <v>1385.632</v>
      </c>
      <c r="F9" s="7">
        <f t="shared" si="2"/>
        <v>237.5</v>
      </c>
      <c r="G9" s="8">
        <f t="shared" si="3"/>
        <v>1580.482</v>
      </c>
      <c r="H9" s="8">
        <f t="shared" si="4"/>
        <v>237.5</v>
      </c>
      <c r="I9" s="8">
        <f t="shared" si="5"/>
        <v>1190.782</v>
      </c>
      <c r="J9" s="8">
        <f t="shared" si="6"/>
        <v>362.5</v>
      </c>
      <c r="K9" s="8">
        <f t="shared" si="7"/>
        <v>1190.782</v>
      </c>
      <c r="L9" s="8">
        <f t="shared" si="8"/>
        <v>362.5</v>
      </c>
      <c r="M9" s="16">
        <f t="shared" si="9"/>
        <v>1580.482</v>
      </c>
    </row>
    <row r="10" ht="25" customHeight="1" spans="1:13">
      <c r="A10" s="2">
        <v>8</v>
      </c>
      <c r="B10" s="2">
        <v>25</v>
      </c>
      <c r="C10" s="2">
        <v>69</v>
      </c>
      <c r="D10" s="2">
        <f t="shared" si="0"/>
        <v>300</v>
      </c>
      <c r="E10" s="2">
        <f t="shared" si="1"/>
        <v>1472.234</v>
      </c>
      <c r="F10" s="5">
        <f t="shared" si="2"/>
        <v>237.5</v>
      </c>
      <c r="G10" s="6">
        <f t="shared" si="3"/>
        <v>1667.084</v>
      </c>
      <c r="H10" s="6">
        <f t="shared" si="4"/>
        <v>237.5</v>
      </c>
      <c r="I10" s="6">
        <f t="shared" si="5"/>
        <v>1277.384</v>
      </c>
      <c r="J10" s="6">
        <f t="shared" si="6"/>
        <v>362.5</v>
      </c>
      <c r="K10" s="6">
        <f t="shared" si="7"/>
        <v>1277.384</v>
      </c>
      <c r="L10" s="6">
        <f t="shared" si="8"/>
        <v>362.5</v>
      </c>
      <c r="M10" s="15">
        <f t="shared" si="9"/>
        <v>1667.084</v>
      </c>
    </row>
    <row r="11" ht="25" customHeight="1" spans="1:13">
      <c r="A11" s="2">
        <v>9</v>
      </c>
      <c r="B11" s="2">
        <v>25</v>
      </c>
      <c r="C11" s="2">
        <v>73</v>
      </c>
      <c r="D11" s="2">
        <f t="shared" si="0"/>
        <v>300</v>
      </c>
      <c r="E11" s="2">
        <f t="shared" si="1"/>
        <v>1558.836</v>
      </c>
      <c r="F11" s="7">
        <f t="shared" si="2"/>
        <v>237.5</v>
      </c>
      <c r="G11" s="8">
        <f t="shared" si="3"/>
        <v>1753.686</v>
      </c>
      <c r="H11" s="8">
        <f t="shared" si="4"/>
        <v>237.5</v>
      </c>
      <c r="I11" s="8">
        <f t="shared" si="5"/>
        <v>1363.986</v>
      </c>
      <c r="J11" s="8">
        <f t="shared" si="6"/>
        <v>362.5</v>
      </c>
      <c r="K11" s="8">
        <f t="shared" si="7"/>
        <v>1363.986</v>
      </c>
      <c r="L11" s="8">
        <f t="shared" si="8"/>
        <v>362.5</v>
      </c>
      <c r="M11" s="16">
        <f t="shared" si="9"/>
        <v>1753.686</v>
      </c>
    </row>
    <row r="12" ht="25" customHeight="1" spans="1:13">
      <c r="A12" s="2">
        <v>10</v>
      </c>
      <c r="B12" s="2">
        <v>25</v>
      </c>
      <c r="C12" s="2">
        <v>77</v>
      </c>
      <c r="D12" s="2">
        <f t="shared" si="0"/>
        <v>300</v>
      </c>
      <c r="E12" s="2">
        <f t="shared" si="1"/>
        <v>1645.438</v>
      </c>
      <c r="F12" s="5">
        <f t="shared" si="2"/>
        <v>237.5</v>
      </c>
      <c r="G12" s="6">
        <f t="shared" si="3"/>
        <v>1840.288</v>
      </c>
      <c r="H12" s="6">
        <f t="shared" si="4"/>
        <v>237.5</v>
      </c>
      <c r="I12" s="6">
        <f t="shared" si="5"/>
        <v>1450.588</v>
      </c>
      <c r="J12" s="6">
        <f t="shared" si="6"/>
        <v>362.5</v>
      </c>
      <c r="K12" s="6">
        <f t="shared" si="7"/>
        <v>1450.588</v>
      </c>
      <c r="L12" s="6">
        <f t="shared" si="8"/>
        <v>362.5</v>
      </c>
      <c r="M12" s="15">
        <f t="shared" si="9"/>
        <v>1840.288</v>
      </c>
    </row>
    <row r="13" ht="25" customHeight="1" spans="1:13">
      <c r="A13" s="2">
        <v>11</v>
      </c>
      <c r="B13" s="2">
        <v>25</v>
      </c>
      <c r="C13" s="2">
        <v>81</v>
      </c>
      <c r="D13" s="2">
        <f t="shared" si="0"/>
        <v>300</v>
      </c>
      <c r="E13" s="2">
        <f t="shared" si="1"/>
        <v>1732.04</v>
      </c>
      <c r="F13" s="7">
        <f t="shared" si="2"/>
        <v>237.5</v>
      </c>
      <c r="G13" s="8">
        <f t="shared" si="3"/>
        <v>1926.89</v>
      </c>
      <c r="H13" s="8">
        <f t="shared" si="4"/>
        <v>237.5</v>
      </c>
      <c r="I13" s="8">
        <f t="shared" si="5"/>
        <v>1537.19</v>
      </c>
      <c r="J13" s="8">
        <f t="shared" si="6"/>
        <v>362.5</v>
      </c>
      <c r="K13" s="8">
        <f t="shared" si="7"/>
        <v>1537.19</v>
      </c>
      <c r="L13" s="8">
        <f t="shared" si="8"/>
        <v>362.5</v>
      </c>
      <c r="M13" s="16">
        <f t="shared" si="9"/>
        <v>1926.89</v>
      </c>
    </row>
    <row r="14" ht="25" customHeight="1" spans="1:13">
      <c r="A14" s="2">
        <v>12</v>
      </c>
      <c r="B14" s="2">
        <v>25</v>
      </c>
      <c r="C14" s="2">
        <v>85</v>
      </c>
      <c r="D14" s="2">
        <f t="shared" si="0"/>
        <v>300</v>
      </c>
      <c r="E14" s="2">
        <f t="shared" si="1"/>
        <v>1818.642</v>
      </c>
      <c r="F14" s="5">
        <f t="shared" si="2"/>
        <v>237.5</v>
      </c>
      <c r="G14" s="6">
        <f t="shared" si="3"/>
        <v>2013.492</v>
      </c>
      <c r="H14" s="6">
        <f t="shared" si="4"/>
        <v>237.5</v>
      </c>
      <c r="I14" s="6">
        <f t="shared" si="5"/>
        <v>1623.792</v>
      </c>
      <c r="J14" s="6">
        <f t="shared" si="6"/>
        <v>362.5</v>
      </c>
      <c r="K14" s="6">
        <f t="shared" si="7"/>
        <v>1623.792</v>
      </c>
      <c r="L14" s="6">
        <f t="shared" si="8"/>
        <v>362.5</v>
      </c>
      <c r="M14" s="15">
        <f t="shared" si="9"/>
        <v>2013.492</v>
      </c>
    </row>
    <row r="15" ht="25" customHeight="1" spans="1:13">
      <c r="A15" s="2">
        <v>13</v>
      </c>
      <c r="B15" s="2">
        <v>25</v>
      </c>
      <c r="C15" s="2">
        <v>89</v>
      </c>
      <c r="D15" s="2">
        <f t="shared" si="0"/>
        <v>300</v>
      </c>
      <c r="E15" s="2">
        <f t="shared" si="1"/>
        <v>1905.244</v>
      </c>
      <c r="F15" s="7">
        <f t="shared" si="2"/>
        <v>237.5</v>
      </c>
      <c r="G15" s="8">
        <f t="shared" si="3"/>
        <v>2100.094</v>
      </c>
      <c r="H15" s="8">
        <f t="shared" si="4"/>
        <v>237.5</v>
      </c>
      <c r="I15" s="8">
        <f t="shared" si="5"/>
        <v>1710.394</v>
      </c>
      <c r="J15" s="8">
        <f t="shared" si="6"/>
        <v>362.5</v>
      </c>
      <c r="K15" s="8">
        <f t="shared" si="7"/>
        <v>1710.394</v>
      </c>
      <c r="L15" s="8">
        <f t="shared" si="8"/>
        <v>362.5</v>
      </c>
      <c r="M15" s="16">
        <f t="shared" si="9"/>
        <v>2100.094</v>
      </c>
    </row>
    <row r="16" ht="25" customHeight="1" spans="1:13">
      <c r="A16" s="2">
        <v>14</v>
      </c>
      <c r="B16" s="2">
        <v>31</v>
      </c>
      <c r="C16" s="2">
        <v>89</v>
      </c>
      <c r="D16" s="2">
        <f t="shared" si="0"/>
        <v>375</v>
      </c>
      <c r="E16" s="2">
        <f t="shared" si="1"/>
        <v>1905.244</v>
      </c>
      <c r="F16" s="5">
        <f t="shared" si="2"/>
        <v>312.5</v>
      </c>
      <c r="G16" s="6">
        <f t="shared" si="3"/>
        <v>2100.094</v>
      </c>
      <c r="H16" s="6">
        <f t="shared" si="4"/>
        <v>312.5</v>
      </c>
      <c r="I16" s="6">
        <f t="shared" si="5"/>
        <v>1710.394</v>
      </c>
      <c r="J16" s="6">
        <f t="shared" si="6"/>
        <v>437.5</v>
      </c>
      <c r="K16" s="6">
        <f t="shared" si="7"/>
        <v>1710.394</v>
      </c>
      <c r="L16" s="6">
        <f t="shared" si="8"/>
        <v>437.5</v>
      </c>
      <c r="M16" s="15">
        <f t="shared" si="9"/>
        <v>2100.094</v>
      </c>
    </row>
    <row r="17" ht="25" customHeight="1" spans="1:13">
      <c r="A17" s="2">
        <v>15</v>
      </c>
      <c r="B17" s="2">
        <v>31</v>
      </c>
      <c r="C17" s="2">
        <v>91</v>
      </c>
      <c r="D17" s="2">
        <f t="shared" si="0"/>
        <v>375</v>
      </c>
      <c r="E17" s="2">
        <f t="shared" si="1"/>
        <v>1948.545</v>
      </c>
      <c r="F17" s="7">
        <f t="shared" si="2"/>
        <v>312.5</v>
      </c>
      <c r="G17" s="8">
        <f t="shared" si="3"/>
        <v>2143.395</v>
      </c>
      <c r="H17" s="8">
        <f t="shared" si="4"/>
        <v>312.5</v>
      </c>
      <c r="I17" s="8">
        <f t="shared" si="5"/>
        <v>1753.695</v>
      </c>
      <c r="J17" s="8">
        <f t="shared" si="6"/>
        <v>437.5</v>
      </c>
      <c r="K17" s="8">
        <f t="shared" si="7"/>
        <v>1753.695</v>
      </c>
      <c r="L17" s="8">
        <f t="shared" si="8"/>
        <v>437.5</v>
      </c>
      <c r="M17" s="16">
        <f t="shared" si="9"/>
        <v>2143.395</v>
      </c>
    </row>
    <row r="18" ht="25" customHeight="1" spans="1:13">
      <c r="A18" s="2">
        <v>16</v>
      </c>
      <c r="B18" s="2">
        <v>37</v>
      </c>
      <c r="C18" s="2">
        <v>91</v>
      </c>
      <c r="D18" s="2">
        <f t="shared" si="0"/>
        <v>450</v>
      </c>
      <c r="E18" s="2">
        <f t="shared" si="1"/>
        <v>1948.545</v>
      </c>
      <c r="F18" s="5">
        <f t="shared" si="2"/>
        <v>387.5</v>
      </c>
      <c r="G18" s="6">
        <f t="shared" si="3"/>
        <v>2143.395</v>
      </c>
      <c r="H18" s="6">
        <f t="shared" si="4"/>
        <v>387.5</v>
      </c>
      <c r="I18" s="6">
        <f t="shared" si="5"/>
        <v>1753.695</v>
      </c>
      <c r="J18" s="6">
        <f t="shared" si="6"/>
        <v>512.5</v>
      </c>
      <c r="K18" s="6">
        <f t="shared" si="7"/>
        <v>1753.695</v>
      </c>
      <c r="L18" s="6">
        <f t="shared" si="8"/>
        <v>512.5</v>
      </c>
      <c r="M18" s="15">
        <f t="shared" si="9"/>
        <v>2143.395</v>
      </c>
    </row>
    <row r="19" ht="25" customHeight="1" spans="1:13">
      <c r="A19" s="2">
        <v>17</v>
      </c>
      <c r="B19" s="2">
        <v>43</v>
      </c>
      <c r="C19" s="2">
        <v>91</v>
      </c>
      <c r="D19" s="2">
        <f t="shared" si="0"/>
        <v>525</v>
      </c>
      <c r="E19" s="2">
        <f t="shared" si="1"/>
        <v>1948.545</v>
      </c>
      <c r="F19" s="7">
        <f t="shared" si="2"/>
        <v>462.5</v>
      </c>
      <c r="G19" s="8">
        <f t="shared" si="3"/>
        <v>2143.395</v>
      </c>
      <c r="H19" s="8">
        <f t="shared" si="4"/>
        <v>462.5</v>
      </c>
      <c r="I19" s="8">
        <f t="shared" si="5"/>
        <v>1753.695</v>
      </c>
      <c r="J19" s="8">
        <f t="shared" si="6"/>
        <v>587.5</v>
      </c>
      <c r="K19" s="8">
        <f t="shared" si="7"/>
        <v>1753.695</v>
      </c>
      <c r="L19" s="8">
        <f t="shared" si="8"/>
        <v>587.5</v>
      </c>
      <c r="M19" s="16">
        <f t="shared" si="9"/>
        <v>2143.395</v>
      </c>
    </row>
    <row r="20" ht="25" customHeight="1" spans="1:13">
      <c r="A20" s="2">
        <v>18</v>
      </c>
      <c r="B20" s="2">
        <v>49</v>
      </c>
      <c r="C20" s="2">
        <v>91</v>
      </c>
      <c r="D20" s="2">
        <f t="shared" si="0"/>
        <v>600</v>
      </c>
      <c r="E20" s="2">
        <f t="shared" si="1"/>
        <v>1948.545</v>
      </c>
      <c r="F20" s="5">
        <f t="shared" si="2"/>
        <v>537.5</v>
      </c>
      <c r="G20" s="6">
        <f t="shared" si="3"/>
        <v>2143.395</v>
      </c>
      <c r="H20" s="6">
        <f t="shared" si="4"/>
        <v>537.5</v>
      </c>
      <c r="I20" s="6">
        <f t="shared" si="5"/>
        <v>1753.695</v>
      </c>
      <c r="J20" s="6">
        <f t="shared" si="6"/>
        <v>662.5</v>
      </c>
      <c r="K20" s="6">
        <f t="shared" si="7"/>
        <v>1753.695</v>
      </c>
      <c r="L20" s="6">
        <f t="shared" si="8"/>
        <v>662.5</v>
      </c>
      <c r="M20" s="15">
        <f t="shared" si="9"/>
        <v>2143.395</v>
      </c>
    </row>
    <row r="21" ht="25" customHeight="1" spans="1:13">
      <c r="A21" s="2">
        <v>19</v>
      </c>
      <c r="B21" s="2">
        <v>55</v>
      </c>
      <c r="C21" s="2">
        <v>91</v>
      </c>
      <c r="D21" s="2">
        <f>25*(B21-1)/2</f>
        <v>675</v>
      </c>
      <c r="E21" s="2">
        <f t="shared" si="1"/>
        <v>1948.545</v>
      </c>
      <c r="F21" s="7">
        <f t="shared" si="2"/>
        <v>612.5</v>
      </c>
      <c r="G21" s="8">
        <f t="shared" si="3"/>
        <v>2143.395</v>
      </c>
      <c r="H21" s="8">
        <f t="shared" si="4"/>
        <v>612.5</v>
      </c>
      <c r="I21" s="8">
        <f t="shared" si="5"/>
        <v>1753.695</v>
      </c>
      <c r="J21" s="8">
        <f t="shared" si="6"/>
        <v>737.5</v>
      </c>
      <c r="K21" s="8">
        <f t="shared" si="7"/>
        <v>1753.695</v>
      </c>
      <c r="L21" s="8">
        <f t="shared" si="8"/>
        <v>737.5</v>
      </c>
      <c r="M21" s="16">
        <f t="shared" si="9"/>
        <v>2143.395</v>
      </c>
    </row>
    <row r="22" ht="25" customHeight="1" spans="1:13">
      <c r="A22" s="2">
        <v>20</v>
      </c>
      <c r="B22" s="2">
        <v>55</v>
      </c>
      <c r="C22" s="2">
        <v>93</v>
      </c>
      <c r="D22" s="2">
        <f t="shared" si="0"/>
        <v>675</v>
      </c>
      <c r="E22" s="2">
        <f t="shared" si="1"/>
        <v>1991.846</v>
      </c>
      <c r="F22" s="5">
        <f t="shared" si="2"/>
        <v>612.5</v>
      </c>
      <c r="G22" s="6">
        <f t="shared" si="3"/>
        <v>2186.696</v>
      </c>
      <c r="H22" s="6">
        <f t="shared" si="4"/>
        <v>612.5</v>
      </c>
      <c r="I22" s="6">
        <f t="shared" si="5"/>
        <v>1796.996</v>
      </c>
      <c r="J22" s="6">
        <f t="shared" si="6"/>
        <v>737.5</v>
      </c>
      <c r="K22" s="6">
        <f t="shared" si="7"/>
        <v>1796.996</v>
      </c>
      <c r="L22" s="6">
        <f t="shared" si="8"/>
        <v>737.5</v>
      </c>
      <c r="M22" s="15">
        <f t="shared" si="9"/>
        <v>2186.696</v>
      </c>
    </row>
    <row r="23" ht="25" customHeight="1" spans="1:13">
      <c r="A23" s="2">
        <v>21</v>
      </c>
      <c r="B23" s="2">
        <v>61</v>
      </c>
      <c r="C23" s="2">
        <v>93</v>
      </c>
      <c r="D23" s="2">
        <f t="shared" si="0"/>
        <v>750</v>
      </c>
      <c r="E23" s="2">
        <f t="shared" si="1"/>
        <v>1991.846</v>
      </c>
      <c r="F23" s="7">
        <f t="shared" si="2"/>
        <v>687.5</v>
      </c>
      <c r="G23" s="8">
        <f t="shared" si="3"/>
        <v>2186.696</v>
      </c>
      <c r="H23" s="8">
        <f t="shared" si="4"/>
        <v>687.5</v>
      </c>
      <c r="I23" s="8">
        <f t="shared" si="5"/>
        <v>1796.996</v>
      </c>
      <c r="J23" s="8">
        <f t="shared" si="6"/>
        <v>812.5</v>
      </c>
      <c r="K23" s="8">
        <f t="shared" si="7"/>
        <v>1796.996</v>
      </c>
      <c r="L23" s="8">
        <f t="shared" si="8"/>
        <v>812.5</v>
      </c>
      <c r="M23" s="16">
        <f t="shared" si="9"/>
        <v>2186.696</v>
      </c>
    </row>
    <row r="24" ht="25" customHeight="1" spans="1:13">
      <c r="A24" s="2">
        <v>22</v>
      </c>
      <c r="B24" s="2">
        <v>67</v>
      </c>
      <c r="C24" s="2">
        <v>93</v>
      </c>
      <c r="D24" s="2">
        <f t="shared" si="0"/>
        <v>825</v>
      </c>
      <c r="E24" s="2">
        <f t="shared" si="1"/>
        <v>1991.846</v>
      </c>
      <c r="F24" s="5">
        <f t="shared" si="2"/>
        <v>762.5</v>
      </c>
      <c r="G24" s="6">
        <f t="shared" si="3"/>
        <v>2186.696</v>
      </c>
      <c r="H24" s="6">
        <f t="shared" si="4"/>
        <v>762.5</v>
      </c>
      <c r="I24" s="6">
        <f t="shared" si="5"/>
        <v>1796.996</v>
      </c>
      <c r="J24" s="6">
        <f t="shared" si="6"/>
        <v>887.5</v>
      </c>
      <c r="K24" s="6">
        <f t="shared" si="7"/>
        <v>1796.996</v>
      </c>
      <c r="L24" s="6">
        <f t="shared" si="8"/>
        <v>887.5</v>
      </c>
      <c r="M24" s="15">
        <f t="shared" si="9"/>
        <v>2186.696</v>
      </c>
    </row>
    <row r="25" ht="25" customHeight="1" spans="1:13">
      <c r="A25" s="2">
        <v>23</v>
      </c>
      <c r="B25" s="2">
        <v>73</v>
      </c>
      <c r="C25" s="2">
        <v>93</v>
      </c>
      <c r="D25" s="2">
        <f t="shared" si="0"/>
        <v>900</v>
      </c>
      <c r="E25" s="2">
        <f t="shared" si="1"/>
        <v>1991.846</v>
      </c>
      <c r="F25" s="7">
        <f t="shared" si="2"/>
        <v>837.5</v>
      </c>
      <c r="G25" s="8">
        <f t="shared" si="3"/>
        <v>2186.696</v>
      </c>
      <c r="H25" s="8">
        <f t="shared" si="4"/>
        <v>837.5</v>
      </c>
      <c r="I25" s="8">
        <f t="shared" si="5"/>
        <v>1796.996</v>
      </c>
      <c r="J25" s="8">
        <f t="shared" si="6"/>
        <v>962.5</v>
      </c>
      <c r="K25" s="8">
        <f t="shared" si="7"/>
        <v>1796.996</v>
      </c>
      <c r="L25" s="8">
        <f t="shared" si="8"/>
        <v>962.5</v>
      </c>
      <c r="M25" s="16">
        <f t="shared" si="9"/>
        <v>2186.696</v>
      </c>
    </row>
    <row r="26" ht="25" customHeight="1" spans="1:13">
      <c r="A26" s="2">
        <v>24</v>
      </c>
      <c r="B26" s="2">
        <v>79</v>
      </c>
      <c r="C26" s="2">
        <v>93</v>
      </c>
      <c r="D26" s="2">
        <f t="shared" si="0"/>
        <v>975</v>
      </c>
      <c r="E26" s="2">
        <f t="shared" si="1"/>
        <v>1991.846</v>
      </c>
      <c r="F26" s="12">
        <f t="shared" si="2"/>
        <v>912.5</v>
      </c>
      <c r="G26" s="13">
        <f t="shared" si="3"/>
        <v>2186.696</v>
      </c>
      <c r="H26" s="13">
        <f t="shared" si="4"/>
        <v>912.5</v>
      </c>
      <c r="I26" s="13">
        <f t="shared" si="5"/>
        <v>1796.996</v>
      </c>
      <c r="J26" s="13">
        <f t="shared" si="6"/>
        <v>1037.5</v>
      </c>
      <c r="K26" s="13">
        <f t="shared" si="7"/>
        <v>1796.996</v>
      </c>
      <c r="L26" s="13">
        <f t="shared" si="8"/>
        <v>1037.5</v>
      </c>
      <c r="M26" s="18">
        <f t="shared" si="9"/>
        <v>2186.696</v>
      </c>
    </row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陈思文</dc:creator>
  <cp:lastModifiedBy>Airporal</cp:lastModifiedBy>
  <dcterms:created xsi:type="dcterms:W3CDTF">2023-05-12T11:15:00Z</dcterms:created>
  <dcterms:modified xsi:type="dcterms:W3CDTF">2025-09-28T07:21:15Z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142F54719C984E8F944D4E7878CCBC34_12</vt:lpwstr>
  </property>
</Properties>
</file>